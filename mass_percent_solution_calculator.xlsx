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vent Vol." sheetId="1" state="visible" r:id="rId3"/>
    <sheet name="Solute_Vol" sheetId="2" state="visible" r:id="rId4"/>
    <sheet name="Solvent_mass" sheetId="3" state="visible" r:id="rId5"/>
    <sheet name="Solute_mas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<sst xmlns="http://schemas.openxmlformats.org/spreadsheetml/2006/main" count="64" uniqueCount="26">
  <si>
    <t xml:space="preserve">Weight Percent Dilution Calculator</t>
  </si>
  <si>
    <t xml:space="preserve">Known Solvent Volume</t>
  </si>
  <si>
    <t xml:space="preserve">Solute Stock_%</t>
  </si>
  <si>
    <t xml:space="preserve">Solute Density (g/mL)</t>
  </si>
  <si>
    <t xml:space="preserve">Solute Mass (g)</t>
  </si>
  <si>
    <t xml:space="preserve">Solute Stock Volume (mL)</t>
  </si>
  <si>
    <t xml:space="preserve">Adj Solute Stock Mass (g)</t>
  </si>
  <si>
    <t xml:space="preserve">Desired %</t>
  </si>
  <si>
    <t xml:space="preserve">Solvent Density (g/mL)</t>
  </si>
  <si>
    <t xml:space="preserve">Solvent Mass (g)</t>
  </si>
  <si>
    <t xml:space="preserve">Solvent Volume (mL)</t>
  </si>
  <si>
    <t xml:space="preserve">Adj Solvent mass (g)</t>
  </si>
  <si>
    <t xml:space="preserve">Adj Solvent Volume (mL)</t>
  </si>
  <si>
    <t xml:space="preserve">Total Volume:</t>
  </si>
  <si>
    <t xml:space="preserve">Instructions:</t>
  </si>
  <si>
    <t xml:space="preserve">Enter values for cells highlighted in yellow</t>
  </si>
  <si>
    <t xml:space="preserve">Known Solute Volume</t>
  </si>
  <si>
    <t xml:space="preserve">Solute Volume (mL)</t>
  </si>
  <si>
    <t xml:space="preserve">Known Solvent Mass</t>
  </si>
  <si>
    <t xml:space="preserve">99% Acetic Acid</t>
  </si>
  <si>
    <t xml:space="preserve">1.049 g/mL</t>
  </si>
  <si>
    <t xml:space="preserve">50% Hydrogen Peroxide</t>
  </si>
  <si>
    <t xml:space="preserve">\</t>
  </si>
  <si>
    <t xml:space="preserve">1.1 g/mL</t>
  </si>
  <si>
    <t xml:space="preserve">Known Solute Stock mass</t>
  </si>
  <si>
    <t xml:space="preserve">Solute Stock Solution Mass (g)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</si>
</sst>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2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3203125" defaultRowHeight="15.75" customHeight="false" zeroHeight="false" outlineLevelRow="0" outlineLevelCol="0"/>
  <cols>
    <col collapsed="false" customWidth="true" hidden="false" outlineLevel="0" max="2" min="2" style="1" width="12.37"/>
    <col collapsed="false" customWidth="true" hidden="false" outlineLevel="0" max="5" min="5" style="1" width="11.63"/>
    <col collapsed="false" customWidth="true" hidden="false" outlineLevel="0" max="6" min="6" style="1" width="11.88"/>
    <col collapsed="false" customWidth="true" hidden="false" outlineLevel="0" max="7" min="7" style="1" width="13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false" outlineLevel="0" collapsed="false">
      <c r="A2" s="3" t="s">
        <v>1</v>
      </c>
      <c r="B2" s="3"/>
      <c r="C2" s="3"/>
      <c r="D2" s="3"/>
      <c r="E2" s="3"/>
      <c r="F2" s="3"/>
    </row>
    <row r="4" customFormat="false" ht="28.55" hidden="false" customHeight="false" outlineLevel="0" collapsed="false">
      <c r="A4" s="4" t="s">
        <v>2</v>
      </c>
      <c r="B4" s="4" t="s">
        <v>3</v>
      </c>
      <c r="E4" s="4" t="s">
        <v>4</v>
      </c>
      <c r="F4" s="4" t="s">
        <v>5</v>
      </c>
      <c r="G4" s="4" t="s">
        <v>6</v>
      </c>
    </row>
    <row r="5" customFormat="false" ht="15.75" hidden="false" customHeight="false" outlineLevel="0" collapsed="false">
      <c r="A5" s="5" t="n">
        <v>50</v>
      </c>
      <c r="B5" s="5" t="n">
        <v>1.1</v>
      </c>
      <c r="E5" s="6" t="n">
        <f aca="false">((A8/100)*E8)/(1-A8/100)</f>
        <v>57.4468085106383</v>
      </c>
      <c r="F5" s="6" t="n">
        <f aca="false">E5*100/A5*1/B5</f>
        <v>104.448742746615</v>
      </c>
      <c r="G5" s="6" t="n">
        <f aca="false">E5*IF(A5&gt;90,1,100/A5)</f>
        <v>114.893617021277</v>
      </c>
    </row>
    <row r="7" customFormat="false" ht="42.1" hidden="false" customHeight="false" outlineLevel="0" collapsed="false">
      <c r="A7" s="4" t="s">
        <v>7</v>
      </c>
      <c r="B7" s="4" t="s">
        <v>8</v>
      </c>
      <c r="E7" s="4" t="s">
        <v>9</v>
      </c>
      <c r="F7" s="4" t="s">
        <v>10</v>
      </c>
    </row>
    <row r="8" customFormat="false" ht="15.75" hidden="false" customHeight="false" outlineLevel="0" collapsed="false">
      <c r="A8" s="5" t="n">
        <v>6</v>
      </c>
      <c r="B8" s="5" t="n">
        <v>1</v>
      </c>
      <c r="E8" s="7" t="n">
        <f aca="false">F8*B8</f>
        <v>900</v>
      </c>
      <c r="F8" s="5" t="n">
        <v>900</v>
      </c>
      <c r="J8" s="8"/>
    </row>
    <row r="10" customFormat="false" ht="28.55" hidden="false" customHeight="false" outlineLevel="0" collapsed="false">
      <c r="E10" s="4" t="s">
        <v>11</v>
      </c>
      <c r="F10" s="4" t="s">
        <v>12</v>
      </c>
    </row>
    <row r="11" customFormat="false" ht="15.75" hidden="false" customHeight="false" outlineLevel="0" collapsed="false">
      <c r="E11" s="6" t="n">
        <f aca="false">E8-IF(A5&gt;90,0,F5*B5*(100-A5)/100)</f>
        <v>842.553191489362</v>
      </c>
      <c r="F11" s="6" t="n">
        <f aca="false">E11/B8</f>
        <v>842.553191489362</v>
      </c>
    </row>
    <row r="13" customFormat="false" ht="15.75" hidden="false" customHeight="false" outlineLevel="0" collapsed="false">
      <c r="E13" s="1" t="s">
        <v>13</v>
      </c>
      <c r="F13" s="8" t="n">
        <f aca="false">F5+F11</f>
        <v>947.001934235977</v>
      </c>
    </row>
    <row r="14" customFormat="false" ht="15.75" hidden="false" customHeight="false" outlineLevel="0" collapsed="false">
      <c r="A14" s="1" t="s">
        <v>14</v>
      </c>
    </row>
    <row r="15" customFormat="false" ht="15.75" hidden="false" customHeight="false" outlineLevel="0" collapsed="false">
      <c r="A15" s="1" t="s">
        <v>15</v>
      </c>
    </row>
    <row r="17" customFormat="false" ht="15.75" hidden="false" customHeight="false" outlineLevel="0" collapsed="false">
      <c r="A17" s="1" t="str">
        <f aca="false">CONCATENATE("To make a solution that is ",A8, " % (by mass), Add ", ROUND(F5,2), " mL of the solute stock solution to")</f>
        <v>To make a solution that is 6 % (by mass), Add 104.45 mL of the solute stock solution to</v>
      </c>
    </row>
    <row r="18" customFormat="false" ht="15.75" hidden="false" customHeight="false" outlineLevel="0" collapsed="false">
      <c r="A18" s="1" t="str">
        <f aca="false">CONCATENATE(ROUND(F11,2)," mL of the solvent.")</f>
        <v>842.55 mL of the solvent.</v>
      </c>
    </row>
    <row r="19" customFormat="false" ht="15.75" hidden="false" customHeight="false" outlineLevel="0" collapsed="false">
      <c r="A19" s="9"/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0" activeCellId="0" sqref="A10"/>
    </sheetView>
  </sheetViews>
  <sheetFormatPr defaultColWidth="8.3203125" defaultRowHeight="15.75" customHeight="false" zeroHeight="false" outlineLevelRow="0" outlineLevelCol="0"/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false" outlineLevel="0" collapsed="false">
      <c r="A2" s="3" t="s">
        <v>16</v>
      </c>
      <c r="B2" s="3"/>
      <c r="C2" s="3"/>
      <c r="D2" s="3"/>
      <c r="E2" s="3"/>
      <c r="F2" s="3"/>
    </row>
    <row r="4" customFormat="false" ht="42.1" hidden="false" customHeight="false" outlineLevel="0" collapsed="false">
      <c r="A4" s="4" t="s">
        <v>2</v>
      </c>
      <c r="B4" s="4" t="s">
        <v>3</v>
      </c>
      <c r="E4" s="4" t="s">
        <v>4</v>
      </c>
      <c r="F4" s="4" t="s">
        <v>17</v>
      </c>
    </row>
    <row r="5" customFormat="false" ht="15.75" hidden="false" customHeight="false" outlineLevel="0" collapsed="false">
      <c r="A5" s="5" t="n">
        <v>100</v>
      </c>
      <c r="B5" s="5" t="n">
        <v>1.26</v>
      </c>
      <c r="E5" s="6" t="n">
        <f aca="false">F5*B5*A5/100</f>
        <v>126</v>
      </c>
      <c r="F5" s="10" t="n">
        <v>100</v>
      </c>
    </row>
    <row r="7" customFormat="false" ht="42.1" hidden="false" customHeight="false" outlineLevel="0" collapsed="false">
      <c r="A7" s="4" t="s">
        <v>7</v>
      </c>
      <c r="B7" s="4" t="s">
        <v>8</v>
      </c>
      <c r="E7" s="4" t="s">
        <v>9</v>
      </c>
      <c r="F7" s="4" t="s">
        <v>10</v>
      </c>
    </row>
    <row r="8" customFormat="false" ht="15.75" hidden="false" customHeight="false" outlineLevel="0" collapsed="false">
      <c r="A8" s="5" t="n">
        <v>5</v>
      </c>
      <c r="B8" s="5" t="n">
        <v>0.779</v>
      </c>
      <c r="E8" s="7" t="n">
        <f aca="false">(1-A8/100)*E5/(A8/100)</f>
        <v>2394</v>
      </c>
      <c r="F8" s="7" t="n">
        <f aca="false">E8/B8</f>
        <v>3073.17073170732</v>
      </c>
    </row>
    <row r="10" customFormat="false" ht="55.6" hidden="false" customHeight="false" outlineLevel="0" collapsed="false">
      <c r="E10" s="4" t="s">
        <v>11</v>
      </c>
      <c r="F10" s="4" t="s">
        <v>12</v>
      </c>
    </row>
    <row r="11" customFormat="false" ht="15.75" hidden="false" customHeight="false" outlineLevel="0" collapsed="false">
      <c r="E11" s="6" t="n">
        <f aca="false">E8-IF(A5&gt;90,0,F5*B5*(100-A5)/100)</f>
        <v>2394</v>
      </c>
      <c r="F11" s="6" t="n">
        <f aca="false">E11/B8</f>
        <v>3073.17073170732</v>
      </c>
    </row>
    <row r="14" customFormat="false" ht="15.75" hidden="false" customHeight="false" outlineLevel="0" collapsed="false">
      <c r="A14" s="1" t="s">
        <v>14</v>
      </c>
    </row>
    <row r="15" customFormat="false" ht="15.75" hidden="false" customHeight="false" outlineLevel="0" collapsed="false">
      <c r="A15" s="1" t="s">
        <v>15</v>
      </c>
    </row>
    <row r="17" customFormat="false" ht="15.75" hidden="false" customHeight="false" outlineLevel="0" collapsed="false">
      <c r="A17" s="1" t="str">
        <f aca="false">CONCATENATE("To make a solution that is ",A8, " % (by mass), Add ", ROUND(F5,2), " mL of the solute stock solution to")</f>
        <v>To make a solution that is 5 % (by mass), Add 100 mL of the solute stock solution to</v>
      </c>
    </row>
    <row r="18" customFormat="false" ht="15.75" hidden="false" customHeight="false" outlineLevel="0" collapsed="false">
      <c r="A18" s="1" t="str">
        <f aca="false">CONCATENATE(ROUND(F11,2)," mL of the solvent.")</f>
        <v>3073.17 mL of the solvent.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11" activeCellId="0" sqref="F11"/>
    </sheetView>
  </sheetViews>
  <sheetFormatPr defaultColWidth="8.3203125" defaultRowHeight="15.75" customHeight="false" zeroHeight="false" outlineLevelRow="0" outlineLevelCol="0"/>
  <cols>
    <col collapsed="false" customWidth="true" hidden="false" outlineLevel="0" max="6" min="6" style="1" width="11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false" outlineLevel="0" collapsed="false">
      <c r="A2" s="3" t="s">
        <v>18</v>
      </c>
      <c r="B2" s="3"/>
      <c r="C2" s="3"/>
      <c r="D2" s="3"/>
      <c r="E2" s="3"/>
      <c r="F2" s="3"/>
    </row>
    <row r="4" customFormat="false" ht="42.1" hidden="false" customHeight="false" outlineLevel="0" collapsed="false">
      <c r="A4" s="4" t="s">
        <v>2</v>
      </c>
      <c r="B4" s="4" t="s">
        <v>3</v>
      </c>
      <c r="E4" s="4" t="s">
        <v>4</v>
      </c>
      <c r="F4" s="4" t="s">
        <v>5</v>
      </c>
    </row>
    <row r="5" customFormat="false" ht="15.75" hidden="false" customHeight="false" outlineLevel="0" collapsed="false">
      <c r="A5" s="11" t="n">
        <v>50</v>
      </c>
      <c r="B5" s="11" t="n">
        <v>1.1</v>
      </c>
      <c r="E5" s="6" t="n">
        <f aca="false">((A8/100)*E8)/(1-A8/100)</f>
        <v>30.9574468085106</v>
      </c>
      <c r="F5" s="6" t="n">
        <f aca="false">E5*100/A5*1/B5</f>
        <v>56.2862669245648</v>
      </c>
      <c r="L5" s="1" t="s">
        <v>19</v>
      </c>
    </row>
    <row r="6" customFormat="false" ht="15.75" hidden="false" customHeight="false" outlineLevel="0" collapsed="false">
      <c r="L6" s="1" t="s">
        <v>20</v>
      </c>
    </row>
    <row r="7" customFormat="false" ht="42.1" hidden="false" customHeight="false" outlineLevel="0" collapsed="false">
      <c r="A7" s="4" t="s">
        <v>7</v>
      </c>
      <c r="B7" s="4" t="s">
        <v>8</v>
      </c>
      <c r="E7" s="4" t="s">
        <v>9</v>
      </c>
      <c r="F7" s="4" t="s">
        <v>10</v>
      </c>
    </row>
    <row r="8" customFormat="false" ht="15.75" hidden="false" customHeight="false" outlineLevel="0" collapsed="false">
      <c r="A8" s="11" t="n">
        <v>6</v>
      </c>
      <c r="B8" s="11" t="n">
        <v>1</v>
      </c>
      <c r="E8" s="11" t="n">
        <v>485</v>
      </c>
      <c r="F8" s="7" t="n">
        <f aca="false">E8/B8</f>
        <v>485</v>
      </c>
      <c r="L8" s="1" t="s">
        <v>21</v>
      </c>
    </row>
    <row r="9" customFormat="false" ht="15.75" hidden="false" customHeight="false" outlineLevel="0" collapsed="false">
      <c r="A9" s="1" t="s">
        <v>22</v>
      </c>
      <c r="L9" s="1" t="s">
        <v>23</v>
      </c>
    </row>
    <row r="10" customFormat="false" ht="42.1" hidden="false" customHeight="false" outlineLevel="0" collapsed="false">
      <c r="E10" s="4" t="s">
        <v>11</v>
      </c>
      <c r="F10" s="4" t="s">
        <v>12</v>
      </c>
    </row>
    <row r="11" customFormat="false" ht="15.75" hidden="false" customHeight="false" outlineLevel="0" collapsed="false">
      <c r="E11" s="6" t="n">
        <f aca="false">E8-IF(A5&gt;90,0,F5*B5*(100-A5)/100)</f>
        <v>454.042553191489</v>
      </c>
      <c r="F11" s="6" t="n">
        <f aca="false">E11/B8</f>
        <v>454.042553191489</v>
      </c>
    </row>
    <row r="13" customFormat="false" ht="15.75" hidden="false" customHeight="false" outlineLevel="0" collapsed="false">
      <c r="F13" s="8" t="n">
        <f aca="false">F5+F11</f>
        <v>510.328820116054</v>
      </c>
    </row>
    <row r="14" customFormat="false" ht="15.75" hidden="false" customHeight="false" outlineLevel="0" collapsed="false">
      <c r="A14" s="1" t="s">
        <v>14</v>
      </c>
    </row>
    <row r="15" customFormat="false" ht="15.75" hidden="false" customHeight="false" outlineLevel="0" collapsed="false">
      <c r="A15" s="1" t="s">
        <v>15</v>
      </c>
    </row>
    <row r="17" customFormat="false" ht="15.75" hidden="false" customHeight="false" outlineLevel="0" collapsed="false">
      <c r="A17" s="1" t="str">
        <f aca="false">CONCATENATE("To make a solution that is ",A8, " % (by mass), Add ", ROUND(F5,2), " mL of the solute stock solution to")</f>
        <v>To make a solution that is 6 % (by mass), Add 56.29 mL of the solute stock solution to</v>
      </c>
    </row>
    <row r="18" customFormat="false" ht="15.75" hidden="false" customHeight="false" outlineLevel="0" collapsed="false">
      <c r="A18" s="1" t="str">
        <f aca="false">CONCATENATE(ROUND(F11,2)," mL of the solvent.")</f>
        <v>454.04 mL of the solvent.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0" activeCellId="0" sqref="A10"/>
    </sheetView>
  </sheetViews>
  <sheetFormatPr defaultColWidth="8.3203125" defaultRowHeight="15.75" customHeight="false" zeroHeight="false" outlineLevelRow="0" outlineLevelCol="0"/>
  <cols>
    <col collapsed="false" customWidth="true" hidden="false" outlineLevel="0" max="7" min="7" style="1" width="11.75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false" outlineLevel="0" collapsed="false">
      <c r="A2" s="3" t="s">
        <v>24</v>
      </c>
      <c r="B2" s="3"/>
      <c r="C2" s="3"/>
      <c r="D2" s="3"/>
      <c r="E2" s="3"/>
      <c r="F2" s="3"/>
    </row>
    <row r="4" customFormat="false" ht="42.1" hidden="false" customHeight="false" outlineLevel="0" collapsed="false">
      <c r="A4" s="4" t="s">
        <v>2</v>
      </c>
      <c r="B4" s="4" t="s">
        <v>3</v>
      </c>
      <c r="E4" s="4" t="s">
        <v>4</v>
      </c>
      <c r="F4" s="4" t="s">
        <v>17</v>
      </c>
      <c r="G4" s="12" t="s">
        <v>25</v>
      </c>
    </row>
    <row r="5" customFormat="false" ht="15.75" hidden="false" customHeight="false" outlineLevel="0" collapsed="false">
      <c r="A5" s="5" t="n">
        <v>100</v>
      </c>
      <c r="B5" s="5" t="n">
        <v>1.26</v>
      </c>
      <c r="E5" s="6" t="n">
        <f aca="false">G5*A5/100</f>
        <v>100</v>
      </c>
      <c r="F5" s="13" t="n">
        <f aca="false">G5/B5</f>
        <v>79.3650793650794</v>
      </c>
      <c r="G5" s="14" t="n">
        <v>100</v>
      </c>
    </row>
    <row r="7" customFormat="false" ht="42.1" hidden="false" customHeight="false" outlineLevel="0" collapsed="false">
      <c r="A7" s="4" t="s">
        <v>7</v>
      </c>
      <c r="B7" s="4" t="s">
        <v>8</v>
      </c>
      <c r="E7" s="4" t="s">
        <v>9</v>
      </c>
      <c r="F7" s="4" t="s">
        <v>10</v>
      </c>
    </row>
    <row r="8" customFormat="false" ht="15.75" hidden="false" customHeight="false" outlineLevel="0" collapsed="false">
      <c r="A8" s="5" t="n">
        <v>5</v>
      </c>
      <c r="B8" s="5" t="n">
        <v>0.779</v>
      </c>
      <c r="E8" s="7" t="n">
        <f aca="false">(1-A8/100)*E5/(A8/100)</f>
        <v>1900</v>
      </c>
      <c r="F8" s="7" t="n">
        <f aca="false">E8/B8</f>
        <v>2439.0243902439</v>
      </c>
    </row>
    <row r="10" customFormat="false" ht="55.6" hidden="false" customHeight="false" outlineLevel="0" collapsed="false">
      <c r="E10" s="4" t="s">
        <v>11</v>
      </c>
      <c r="F10" s="4" t="s">
        <v>12</v>
      </c>
    </row>
    <row r="11" customFormat="false" ht="15.75" hidden="false" customHeight="false" outlineLevel="0" collapsed="false">
      <c r="E11" s="6" t="n">
        <f aca="false">E8-IF(A5&gt;90,0,G5-E5)</f>
        <v>1900</v>
      </c>
      <c r="F11" s="6" t="n">
        <f aca="false">E11/B8</f>
        <v>2439.0243902439</v>
      </c>
    </row>
    <row r="14" customFormat="false" ht="15.75" hidden="false" customHeight="false" outlineLevel="0" collapsed="false">
      <c r="A14" s="1" t="s">
        <v>14</v>
      </c>
    </row>
    <row r="15" customFormat="false" ht="15.75" hidden="false" customHeight="false" outlineLevel="0" collapsed="false">
      <c r="A15" s="1" t="s">
        <v>15</v>
      </c>
    </row>
    <row r="17" customFormat="false" ht="15.75" hidden="false" customHeight="false" outlineLevel="0" collapsed="false">
      <c r="A17" s="1" t="str">
        <f aca="false">CONCATENATE("To make a solution that is ",A8, " % (by mass), Add ", ROUND(F5,2), " mL or ", ROUND(G5,2), " g of the solute stock solution to")</f>
        <v>To make a solution that is 5 % (by mass), Add 79.37 mL or 100 g of the solute stock solution to</v>
      </c>
    </row>
    <row r="18" customFormat="false" ht="15.75" hidden="false" customHeight="false" outlineLevel="0" collapsed="false">
      <c r="A18" s="1" t="str">
        <f aca="false">CONCATENATE(ROUND(F11,2)," mL of the solvent.")</f>
        <v>2439.02 mL of the solvent.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LibreOffice/26.8.0.3$Linux_X86_64 LibreOffice_project/e34ffb33db0c92181c79084d759a90d6bf45d9b3</Application>
  <AppVersion>15.0000</AppVersion>
  <Company>Columbus State Community College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2014-07-02T15:22:45Z</dcterms:created>
  <dc:creator>Daniel King</dc:creator>
  <dc:description/>
  <dc:language>en-US</dc:language>
  <cp:lastModifiedBy/>
  <dcterms:modified xsi:type="dcterms:W3CDTF">2026-09-28T19:55:04Z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